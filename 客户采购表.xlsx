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460" windowHeight="14060"/>
  </bookViews>
  <sheets>
    <sheet name="订购设备清单" sheetId="1" r:id="rId1"/>
  </sheets>
  <externalReferences>
    <externalReference r:id="rId2"/>
  </externalReferences>
  <definedNames>
    <definedName name="_xlnm._FilterDatabase" localSheetId="0" hidden="1">订购设备清单!$A$1:$N$38</definedName>
    <definedName name="DBA1a1c523eda3a4d8e889186caa05001dd">[1]Sheet2!$D$2:$D$176</definedName>
    <definedName name="DBA245a6dde8a954ac4b5c491970b9eeeba">[1]Sheet2!$B$2:$B$7</definedName>
    <definedName name="DBA5b123971d54842798a8f84dc7aa150fc">[1]Sheet2!$C$2:$C$54</definedName>
    <definedName name="MDSBanner" localSheetId="0">[1]SITES!#REF!</definedName>
    <definedName name="MDSBanner">[1]SITES!#REF!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<sst xmlns="http://schemas.openxmlformats.org/spreadsheetml/2006/main" count="157" uniqueCount="92">
  <si>
    <t>序号</t>
  </si>
  <si>
    <r>
      <rPr>
        <b/>
        <sz val="9"/>
        <color theme="1"/>
        <rFont val="宋体"/>
        <charset val="134"/>
      </rPr>
      <t>小类</t>
    </r>
  </si>
  <si>
    <r>
      <rPr>
        <b/>
        <sz val="9"/>
        <color theme="1"/>
        <rFont val="宋体"/>
        <charset val="134"/>
      </rPr>
      <t>产品名称</t>
    </r>
  </si>
  <si>
    <r>
      <rPr>
        <b/>
        <sz val="9"/>
        <color theme="1"/>
        <rFont val="宋体"/>
        <charset val="134"/>
      </rPr>
      <t>产品描述</t>
    </r>
  </si>
  <si>
    <r>
      <rPr>
        <b/>
        <sz val="9"/>
        <color theme="1"/>
        <rFont val="宋体"/>
        <charset val="134"/>
      </rPr>
      <t>单价
（含</t>
    </r>
    <r>
      <rPr>
        <b/>
        <sz val="9"/>
        <color theme="1"/>
        <rFont val="Verdana"/>
        <charset val="134"/>
      </rPr>
      <t>13%VAT</t>
    </r>
    <r>
      <rPr>
        <b/>
        <sz val="9"/>
        <color theme="1"/>
        <rFont val="宋体"/>
        <charset val="134"/>
      </rPr>
      <t>）</t>
    </r>
  </si>
  <si>
    <r>
      <rPr>
        <b/>
        <sz val="9"/>
        <color theme="1"/>
        <rFont val="宋体"/>
        <charset val="134"/>
      </rPr>
      <t>单价
（含</t>
    </r>
    <r>
      <rPr>
        <b/>
        <sz val="9"/>
        <color theme="1"/>
        <rFont val="Verdana"/>
        <charset val="134"/>
      </rPr>
      <t>6%VAT</t>
    </r>
    <r>
      <rPr>
        <b/>
        <sz val="9"/>
        <color theme="1"/>
        <rFont val="宋体"/>
        <charset val="134"/>
      </rPr>
      <t>）</t>
    </r>
  </si>
  <si>
    <r>
      <rPr>
        <b/>
        <sz val="9"/>
        <color theme="1"/>
        <rFont val="宋体"/>
        <charset val="134"/>
      </rPr>
      <t>采购数量</t>
    </r>
  </si>
  <si>
    <t>开票金额
（含税）</t>
  </si>
  <si>
    <r>
      <rPr>
        <sz val="9"/>
        <color theme="1"/>
        <rFont val="宋体"/>
        <charset val="134"/>
      </rPr>
      <t>综合布线</t>
    </r>
  </si>
  <si>
    <t>弱电设备</t>
  </si>
  <si>
    <r>
      <rPr>
        <sz val="9"/>
        <color theme="1"/>
        <rFont val="宋体"/>
        <charset val="134"/>
      </rPr>
      <t>门店</t>
    </r>
    <r>
      <rPr>
        <sz val="9"/>
        <color theme="1"/>
        <rFont val="Verdana"/>
        <charset val="134"/>
      </rPr>
      <t>IT</t>
    </r>
    <r>
      <rPr>
        <sz val="9"/>
        <color theme="1"/>
        <rFont val="宋体"/>
        <charset val="134"/>
      </rPr>
      <t>相关弱电（设备</t>
    </r>
    <r>
      <rPr>
        <sz val="9"/>
        <color theme="1"/>
        <rFont val="Verdana"/>
        <charset val="134"/>
      </rPr>
      <t>+</t>
    </r>
    <r>
      <rPr>
        <sz val="9"/>
        <color theme="1"/>
        <rFont val="宋体"/>
        <charset val="134"/>
      </rPr>
      <t>材料）</t>
    </r>
  </si>
  <si>
    <t>东和</t>
  </si>
  <si>
    <t>办公</t>
  </si>
  <si>
    <r>
      <rPr>
        <sz val="9"/>
        <color theme="1"/>
        <rFont val="宋体"/>
        <charset val="134"/>
      </rPr>
      <t>办公</t>
    </r>
    <r>
      <rPr>
        <sz val="9"/>
        <color theme="1"/>
        <rFont val="Verdana"/>
        <charset val="134"/>
      </rPr>
      <t>PC</t>
    </r>
  </si>
  <si>
    <r>
      <rPr>
        <sz val="9"/>
        <color theme="1"/>
        <rFont val="微软雅黑"/>
        <charset val="134"/>
      </rPr>
      <t>办公</t>
    </r>
    <r>
      <rPr>
        <sz val="9"/>
        <color theme="1"/>
        <rFont val="Verdana"/>
        <charset val="134"/>
      </rPr>
      <t>PC</t>
    </r>
  </si>
  <si>
    <t>利旧</t>
  </si>
  <si>
    <t>显示器</t>
  </si>
  <si>
    <r>
      <rPr>
        <sz val="9"/>
        <color theme="1"/>
        <rFont val="Verdana"/>
        <charset val="134"/>
      </rPr>
      <t>POS</t>
    </r>
    <r>
      <rPr>
        <sz val="9"/>
        <color theme="1"/>
        <rFont val="Verdana"/>
        <charset val="134"/>
      </rPr>
      <t>-</t>
    </r>
    <r>
      <rPr>
        <sz val="9"/>
        <color theme="1"/>
        <rFont val="宋体"/>
        <charset val="134"/>
      </rPr>
      <t>柜台</t>
    </r>
  </si>
  <si>
    <r>
      <rPr>
        <sz val="9"/>
        <color theme="1"/>
        <rFont val="Verdana"/>
        <charset val="134"/>
      </rPr>
      <t>POS1</t>
    </r>
    <r>
      <rPr>
        <sz val="9"/>
        <color theme="1"/>
        <rFont val="宋体"/>
        <charset val="134"/>
      </rPr>
      <t>读卡器</t>
    </r>
    <r>
      <rPr>
        <sz val="9"/>
        <color theme="1"/>
        <rFont val="Verdana"/>
        <charset val="134"/>
      </rPr>
      <t xml:space="preserve"> </t>
    </r>
  </si>
  <si>
    <r>
      <rPr>
        <sz val="9"/>
        <color theme="1"/>
        <rFont val="宋体"/>
        <charset val="134"/>
      </rPr>
      <t>读卡器</t>
    </r>
  </si>
  <si>
    <r>
      <rPr>
        <sz val="9"/>
        <color theme="1"/>
        <rFont val="宋体"/>
        <charset val="134"/>
      </rPr>
      <t>CCTV</t>
    </r>
    <r>
      <rPr>
        <sz val="9"/>
        <rFont val="微软雅黑"/>
        <charset val="134"/>
      </rPr>
      <t>监控设备</t>
    </r>
  </si>
  <si>
    <t>CCTV监控主机</t>
  </si>
  <si>
    <t>32路监控主机（边缘盒子）</t>
  </si>
  <si>
    <t>CCTV POE交换机</t>
  </si>
  <si>
    <t>16口POE交换机</t>
  </si>
  <si>
    <t>联诺</t>
  </si>
  <si>
    <r>
      <rPr>
        <sz val="9"/>
        <color theme="1"/>
        <rFont val="Verdana"/>
        <charset val="134"/>
      </rPr>
      <t>POS-</t>
    </r>
    <r>
      <rPr>
        <sz val="9"/>
        <color theme="1"/>
        <rFont val="宋体"/>
        <charset val="134"/>
      </rPr>
      <t>外送</t>
    </r>
  </si>
  <si>
    <r>
      <rPr>
        <sz val="9"/>
        <color theme="1"/>
        <rFont val="Verdana"/>
        <charset val="134"/>
      </rPr>
      <t xml:space="preserve">POS9 </t>
    </r>
    <r>
      <rPr>
        <sz val="9"/>
        <color theme="1"/>
        <rFont val="宋体"/>
        <charset val="134"/>
      </rPr>
      <t>读卡器</t>
    </r>
  </si>
  <si>
    <r>
      <rPr>
        <sz val="9"/>
        <color theme="1"/>
        <rFont val="宋体"/>
        <charset val="134"/>
      </rPr>
      <t>CCTV</t>
    </r>
    <r>
      <rPr>
        <sz val="9"/>
        <color theme="1"/>
        <rFont val="宋体"/>
        <charset val="134"/>
      </rPr>
      <t>监控设备</t>
    </r>
  </si>
  <si>
    <t>CCTV监控摄像头</t>
  </si>
  <si>
    <t>摄像头(200W)</t>
  </si>
  <si>
    <r>
      <rPr>
        <sz val="9"/>
        <color theme="1"/>
        <rFont val="宋体"/>
        <charset val="134"/>
      </rPr>
      <t>CCTV</t>
    </r>
    <r>
      <rPr>
        <sz val="9"/>
        <color theme="1"/>
        <rFont val="宋体"/>
        <charset val="134"/>
      </rPr>
      <t>监控设备</t>
    </r>
  </si>
  <si>
    <t>摄像头(400W)</t>
  </si>
  <si>
    <r>
      <rPr>
        <sz val="9"/>
        <color theme="1"/>
        <rFont val="Verdana"/>
        <charset val="134"/>
      </rPr>
      <t xml:space="preserve">POS9 </t>
    </r>
    <r>
      <rPr>
        <sz val="9"/>
        <color theme="1"/>
        <rFont val="宋体"/>
        <charset val="134"/>
      </rPr>
      <t>热敏打印机</t>
    </r>
  </si>
  <si>
    <t>Terimal Printer</t>
  </si>
  <si>
    <r>
      <rPr>
        <sz val="9"/>
        <color theme="1"/>
        <rFont val="宋体"/>
        <charset val="134"/>
      </rPr>
      <t>CCTV</t>
    </r>
    <r>
      <rPr>
        <sz val="9"/>
        <color theme="1"/>
        <rFont val="宋体"/>
        <charset val="134"/>
      </rPr>
      <t>监控设备</t>
    </r>
  </si>
  <si>
    <t>CCTV监控专用硬盘</t>
  </si>
  <si>
    <t>6T硬盘</t>
  </si>
  <si>
    <t>谐住</t>
  </si>
  <si>
    <t>CCTV监控线材和辅材</t>
  </si>
  <si>
    <t>监控线材和辅材</t>
  </si>
  <si>
    <t>KDS</t>
  </si>
  <si>
    <r>
      <rPr>
        <sz val="10"/>
        <rFont val="Verdana"/>
        <charset val="134"/>
      </rPr>
      <t xml:space="preserve">Android KDS </t>
    </r>
    <r>
      <rPr>
        <sz val="10"/>
        <rFont val="宋体"/>
        <charset val="134"/>
      </rPr>
      <t>盒子</t>
    </r>
  </si>
  <si>
    <r>
      <rPr>
        <sz val="10"/>
        <rFont val="Verdana"/>
        <charset val="134"/>
      </rPr>
      <t xml:space="preserve">Android </t>
    </r>
    <r>
      <rPr>
        <sz val="10"/>
        <rFont val="宋体"/>
        <charset val="134"/>
      </rPr>
      <t>盒子</t>
    </r>
  </si>
  <si>
    <t>叫号屏</t>
  </si>
  <si>
    <r>
      <rPr>
        <sz val="9"/>
        <color theme="1"/>
        <rFont val="Verdana"/>
        <charset val="134"/>
      </rPr>
      <t>32</t>
    </r>
    <r>
      <rPr>
        <sz val="9"/>
        <color theme="1"/>
        <rFont val="微软雅黑"/>
        <charset val="134"/>
      </rPr>
      <t>寸叫号屏</t>
    </r>
  </si>
  <si>
    <t>其他</t>
  </si>
  <si>
    <r>
      <rPr>
        <sz val="9"/>
        <color theme="1"/>
        <rFont val="宋体"/>
        <charset val="134"/>
      </rPr>
      <t>考勤机和软件</t>
    </r>
  </si>
  <si>
    <t>网络</t>
  </si>
  <si>
    <t>路由器</t>
  </si>
  <si>
    <t>SDWAN路由器 (单路由)</t>
  </si>
  <si>
    <t>兴荣</t>
  </si>
  <si>
    <t>交换机</t>
  </si>
  <si>
    <t>24口交换机</t>
  </si>
  <si>
    <t>打印机</t>
  </si>
  <si>
    <r>
      <rPr>
        <sz val="9"/>
        <color theme="1"/>
        <rFont val="Verdana"/>
        <charset val="134"/>
      </rPr>
      <t xml:space="preserve">HP </t>
    </r>
    <r>
      <rPr>
        <sz val="9"/>
        <color theme="1"/>
        <rFont val="宋体"/>
        <charset val="134"/>
      </rPr>
      <t>激光一体机</t>
    </r>
  </si>
  <si>
    <t>POS1</t>
  </si>
  <si>
    <t>Pad</t>
  </si>
  <si>
    <r>
      <rPr>
        <sz val="9"/>
        <color theme="1"/>
        <rFont val="Verdana"/>
        <charset val="134"/>
      </rPr>
      <t xml:space="preserve">POS1 </t>
    </r>
    <r>
      <rPr>
        <sz val="9"/>
        <color theme="1"/>
        <rFont val="宋体"/>
        <charset val="134"/>
      </rPr>
      <t>配件</t>
    </r>
  </si>
  <si>
    <r>
      <rPr>
        <sz val="9"/>
        <rFont val="Verdana"/>
        <charset val="134"/>
      </rPr>
      <t>Pad</t>
    </r>
    <r>
      <rPr>
        <sz val="9"/>
        <rFont val="宋体"/>
        <charset val="134"/>
      </rPr>
      <t>支架（含扩展坞）</t>
    </r>
  </si>
  <si>
    <r>
      <rPr>
        <sz val="9"/>
        <color theme="1"/>
        <rFont val="Verdana"/>
        <charset val="134"/>
      </rPr>
      <t xml:space="preserve">POS1 </t>
    </r>
    <r>
      <rPr>
        <sz val="9"/>
        <color theme="1"/>
        <rFont val="宋体"/>
        <charset val="134"/>
      </rPr>
      <t>扫码机具</t>
    </r>
  </si>
  <si>
    <t>扫码机具</t>
  </si>
  <si>
    <r>
      <rPr>
        <sz val="9"/>
        <color theme="1"/>
        <rFont val="Verdana"/>
        <charset val="134"/>
      </rPr>
      <t xml:space="preserve">POS1 </t>
    </r>
    <r>
      <rPr>
        <sz val="9"/>
        <color theme="1"/>
        <rFont val="宋体"/>
        <charset val="134"/>
      </rPr>
      <t>热敏打印机</t>
    </r>
    <r>
      <rPr>
        <sz val="9"/>
        <color theme="1"/>
        <rFont val="Verdana"/>
        <charset val="134"/>
      </rPr>
      <t xml:space="preserve"> </t>
    </r>
  </si>
  <si>
    <r>
      <rPr>
        <sz val="9"/>
        <color theme="1"/>
        <rFont val="Verdana"/>
        <charset val="134"/>
      </rPr>
      <t xml:space="preserve">POS1 </t>
    </r>
    <r>
      <rPr>
        <sz val="9"/>
        <color theme="1"/>
        <rFont val="宋体"/>
        <charset val="134"/>
      </rPr>
      <t>钱箱</t>
    </r>
  </si>
  <si>
    <t>Cash Draw</t>
  </si>
  <si>
    <t>POS9</t>
  </si>
  <si>
    <r>
      <rPr>
        <sz val="9"/>
        <color theme="1"/>
        <rFont val="Verdana"/>
        <charset val="134"/>
      </rPr>
      <t xml:space="preserve">POS9 </t>
    </r>
    <r>
      <rPr>
        <sz val="9"/>
        <color theme="1"/>
        <rFont val="微软雅黑"/>
        <charset val="134"/>
      </rPr>
      <t>主机</t>
    </r>
  </si>
  <si>
    <r>
      <rPr>
        <sz val="9"/>
        <color theme="1"/>
        <rFont val="Verdana"/>
        <charset val="134"/>
      </rPr>
      <t xml:space="preserve">POS9 </t>
    </r>
    <r>
      <rPr>
        <sz val="9"/>
        <color theme="1"/>
        <rFont val="微软雅黑"/>
        <charset val="134"/>
      </rPr>
      <t>显示器</t>
    </r>
  </si>
  <si>
    <t>POS-外送</t>
  </si>
  <si>
    <t>键盘鼠标</t>
  </si>
  <si>
    <t>无线键盘鼠标</t>
  </si>
  <si>
    <t>POS9显示器支架</t>
  </si>
  <si>
    <t>PO9显示器墙体支架（KDS伸缩支架）</t>
  </si>
  <si>
    <r>
      <rPr>
        <sz val="10"/>
        <rFont val="Verdana"/>
        <charset val="134"/>
      </rPr>
      <t xml:space="preserve">Android KDS </t>
    </r>
    <r>
      <rPr>
        <sz val="10"/>
        <rFont val="宋体"/>
        <charset val="134"/>
      </rPr>
      <t>一体机</t>
    </r>
  </si>
  <si>
    <r>
      <rPr>
        <sz val="10"/>
        <rFont val="Verdana"/>
        <charset val="134"/>
      </rPr>
      <t xml:space="preserve">Android KDS  </t>
    </r>
    <r>
      <rPr>
        <sz val="10"/>
        <rFont val="宋体"/>
        <charset val="134"/>
      </rPr>
      <t>一体机</t>
    </r>
    <r>
      <rPr>
        <sz val="10"/>
        <rFont val="Verdana"/>
        <charset val="134"/>
      </rPr>
      <t xml:space="preserve"> 15''</t>
    </r>
  </si>
  <si>
    <r>
      <rPr>
        <sz val="10"/>
        <rFont val="Verdana"/>
        <charset val="134"/>
      </rPr>
      <t>Bumpbar</t>
    </r>
    <r>
      <rPr>
        <sz val="10"/>
        <rFont val="宋体"/>
        <charset val="134"/>
      </rPr>
      <t>消单器</t>
    </r>
  </si>
  <si>
    <t>Bumpbar</t>
  </si>
  <si>
    <r>
      <rPr>
        <sz val="9"/>
        <color theme="1"/>
        <rFont val="Verdana"/>
        <charset val="134"/>
      </rPr>
      <t>KDS</t>
    </r>
    <r>
      <rPr>
        <sz val="9"/>
        <color theme="1"/>
        <rFont val="宋体"/>
        <charset val="134"/>
      </rPr>
      <t xml:space="preserve">配件 </t>
    </r>
  </si>
  <si>
    <r>
      <rPr>
        <sz val="9"/>
        <color theme="1"/>
        <rFont val="宋体"/>
        <charset val="134"/>
      </rPr>
      <t>汇餐屏</t>
    </r>
    <r>
      <rPr>
        <sz val="9"/>
        <color theme="1"/>
        <rFont val="宋体"/>
        <charset val="134"/>
      </rPr>
      <t>桌面支架</t>
    </r>
  </si>
  <si>
    <r>
      <rPr>
        <sz val="9"/>
        <color theme="1"/>
        <rFont val="宋体"/>
        <charset val="134"/>
      </rPr>
      <t>KDS伸缩</t>
    </r>
    <r>
      <rPr>
        <sz val="9"/>
        <color theme="1"/>
        <rFont val="宋体"/>
        <charset val="134"/>
      </rPr>
      <t>支架</t>
    </r>
  </si>
  <si>
    <t>叫号屏支架</t>
  </si>
  <si>
    <r>
      <rPr>
        <sz val="9"/>
        <color theme="1"/>
        <rFont val="宋体"/>
        <charset val="134"/>
      </rPr>
      <t>电子餐牌和电视</t>
    </r>
  </si>
  <si>
    <t>电子餐牌设备</t>
  </si>
  <si>
    <r>
      <rPr>
        <sz val="9"/>
        <color theme="1"/>
        <rFont val="Verdana"/>
        <charset val="134"/>
      </rPr>
      <t>50</t>
    </r>
    <r>
      <rPr>
        <sz val="9"/>
        <color theme="1"/>
        <rFont val="微软雅黑"/>
        <charset val="134"/>
      </rPr>
      <t>寸电子餐牌</t>
    </r>
  </si>
  <si>
    <t>明奇</t>
  </si>
  <si>
    <r>
      <rPr>
        <sz val="9"/>
        <color theme="1"/>
        <rFont val="宋体"/>
        <charset val="134"/>
      </rPr>
      <t>员工磁卡</t>
    </r>
  </si>
  <si>
    <r>
      <rPr>
        <sz val="9"/>
        <color theme="1"/>
        <rFont val="宋体"/>
        <charset val="134"/>
      </rPr>
      <t>电源延长线</t>
    </r>
  </si>
  <si>
    <r>
      <rPr>
        <sz val="9"/>
        <color theme="1"/>
        <rFont val="Verdana"/>
        <charset val="134"/>
      </rPr>
      <t>KDS</t>
    </r>
    <r>
      <rPr>
        <sz val="9"/>
        <color theme="1"/>
        <rFont val="宋体"/>
        <charset val="134"/>
      </rPr>
      <t>电源延长线</t>
    </r>
    <r>
      <rPr>
        <sz val="9"/>
        <color theme="1"/>
        <rFont val="Verdana"/>
        <charset val="134"/>
      </rPr>
      <t xml:space="preserve">(5M) </t>
    </r>
  </si>
  <si>
    <r>
      <rPr>
        <sz val="9"/>
        <color theme="1"/>
        <rFont val="Verdana"/>
        <charset val="134"/>
      </rPr>
      <t xml:space="preserve">UK </t>
    </r>
    <r>
      <rPr>
        <sz val="9"/>
        <color theme="1"/>
        <rFont val="宋体"/>
        <charset val="134"/>
      </rPr>
      <t>电源线</t>
    </r>
  </si>
  <si>
    <r>
      <rPr>
        <sz val="9"/>
        <color theme="1"/>
        <rFont val="Verdana"/>
        <charset val="134"/>
      </rPr>
      <t xml:space="preserve">UK </t>
    </r>
    <r>
      <rPr>
        <sz val="9"/>
        <color theme="1"/>
        <rFont val="宋体"/>
        <charset val="134"/>
      </rPr>
      <t>电源线</t>
    </r>
    <r>
      <rPr>
        <sz val="9"/>
        <color theme="1"/>
        <rFont val="Verdana"/>
        <charset val="134"/>
      </rPr>
      <t xml:space="preserve"> </t>
    </r>
    <r>
      <rPr>
        <sz val="9"/>
        <color theme="1"/>
        <rFont val="宋体"/>
        <charset val="134"/>
      </rPr>
      <t>（生产设备）</t>
    </r>
  </si>
  <si>
    <t>标签打印机</t>
  </si>
  <si>
    <r>
      <rPr>
        <sz val="9"/>
        <color theme="1"/>
        <rFont val="微软雅黑"/>
        <charset val="134"/>
      </rPr>
      <t>利旧2个</t>
    </r>
    <r>
      <rPr>
        <sz val="9"/>
        <color theme="1"/>
        <rFont val="Verdana"/>
        <charset val="134"/>
      </rPr>
      <t>SOK</t>
    </r>
    <r>
      <rPr>
        <sz val="9"/>
        <color theme="1"/>
        <rFont val="Verdana"/>
        <charset val="134"/>
      </rPr>
      <t>-</t>
    </r>
    <r>
      <rPr>
        <sz val="9"/>
        <color theme="1"/>
        <rFont val="微软雅黑"/>
        <charset val="134"/>
      </rPr>
      <t>挂墙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</si>
</sst>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;[Red]\-#,##0\ "/>
  </numFmts>
  <fonts count="31">
    <font>
      <sz val="11"/>
      <color theme="1"/>
      <name val="等线"/>
      <charset val="134"/>
      <scheme val="minor"/>
    </font>
    <font>
      <sz val="9"/>
      <color theme="1"/>
      <name val="Verdana"/>
      <charset val="134"/>
    </font>
    <font>
      <sz val="9"/>
      <color theme="1"/>
      <name val="微软雅黑"/>
      <charset val="134"/>
    </font>
    <font>
      <b/>
      <sz val="9"/>
      <color theme="1"/>
      <name val="Verdana"/>
      <charset val="134"/>
    </font>
    <font>
      <sz val="9"/>
      <color theme="1"/>
      <name val="宋体"/>
      <charset val="134"/>
    </font>
    <font>
      <sz val="10"/>
      <name val="Verdana"/>
      <charset val="134"/>
    </font>
    <font>
      <sz val="9"/>
      <name val="Verdana"/>
      <charset val="134"/>
    </font>
    <font>
      <b/>
      <sz val="9"/>
      <color theme="1"/>
      <name val="宋体"/>
      <charset val="134"/>
    </font>
    <font>
      <sz val="9"/>
      <name val="微软雅黑"/>
      <charset val="134"/>
    </font>
    <font>
      <sz val="9"/>
      <color rgb="FFFF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10" applyNumberFormat="0" applyAlignment="0" applyProtection="0">
      <alignment vertical="center"/>
    </xf>
    <xf numFmtId="0" fontId="19" fillId="7" borderId="11" applyNumberFormat="0" applyAlignment="0" applyProtection="0">
      <alignment vertical="center"/>
    </xf>
    <xf numFmtId="0" fontId="20" fillId="7" borderId="10" applyNumberFormat="0" applyAlignment="0" applyProtection="0">
      <alignment vertical="center"/>
    </xf>
    <xf numFmtId="0" fontId="21" fillId="8" borderId="12" applyNumberFormat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" fillId="0" borderId="0" xfId="49" applyFont="1">
      <alignment vertical="center"/>
    </xf>
    <xf numFmtId="0" fontId="1" fillId="0" borderId="0" xfId="49" applyFont="1" applyFill="1">
      <alignment vertical="center"/>
    </xf>
    <xf numFmtId="0" fontId="1" fillId="2" borderId="0" xfId="49" applyFont="1" applyFill="1">
      <alignment vertical="center"/>
    </xf>
    <xf numFmtId="0" fontId="2" fillId="2" borderId="0" xfId="49" applyFont="1" applyFill="1">
      <alignment vertical="center"/>
    </xf>
    <xf numFmtId="0" fontId="3" fillId="3" borderId="1" xfId="49" applyFont="1" applyFill="1" applyBorder="1" applyAlignment="1">
      <alignment horizontal="center" vertical="center" wrapText="1"/>
    </xf>
    <xf numFmtId="0" fontId="3" fillId="3" borderId="2" xfId="49" applyFont="1" applyFill="1" applyBorder="1" applyAlignment="1">
      <alignment horizontal="center" vertical="center" wrapText="1"/>
    </xf>
    <xf numFmtId="0" fontId="1" fillId="0" borderId="3" xfId="49" applyFont="1" applyBorder="1" applyAlignment="1">
      <alignment vertical="center" wrapText="1"/>
    </xf>
    <xf numFmtId="0" fontId="4" fillId="0" borderId="4" xfId="49" applyFont="1" applyBorder="1" applyAlignment="1">
      <alignment vertical="center" wrapText="1"/>
    </xf>
    <xf numFmtId="0" fontId="1" fillId="0" borderId="4" xfId="49" applyFont="1" applyBorder="1" applyAlignment="1">
      <alignment vertical="center" wrapText="1"/>
    </xf>
    <xf numFmtId="0" fontId="4" fillId="0" borderId="3" xfId="49" applyFont="1" applyFill="1" applyBorder="1" applyAlignment="1">
      <alignment vertical="center" wrapText="1"/>
    </xf>
    <xf numFmtId="0" fontId="1" fillId="0" borderId="4" xfId="49" applyFont="1" applyFill="1" applyBorder="1" applyAlignment="1">
      <alignment vertical="center" wrapText="1"/>
    </xf>
    <xf numFmtId="0" fontId="1" fillId="4" borderId="4" xfId="49" applyFont="1" applyFill="1" applyBorder="1" applyAlignment="1">
      <alignment vertical="center" wrapText="1"/>
    </xf>
    <xf numFmtId="0" fontId="4" fillId="0" borderId="3" xfId="49" applyFont="1" applyBorder="1" applyAlignment="1">
      <alignment vertical="center" wrapText="1"/>
    </xf>
    <xf numFmtId="0" fontId="2" fillId="4" borderId="4" xfId="49" applyFont="1" applyFill="1" applyBorder="1" applyAlignment="1">
      <alignment vertical="center" wrapText="1"/>
    </xf>
    <xf numFmtId="0" fontId="1" fillId="0" borderId="3" xfId="49" applyFont="1" applyFill="1" applyBorder="1" applyAlignment="1">
      <alignment vertical="center" wrapText="1"/>
    </xf>
    <xf numFmtId="0" fontId="4" fillId="0" borderId="4" xfId="49" applyFont="1" applyFill="1" applyBorder="1" applyAlignment="1">
      <alignment vertical="center" wrapText="1"/>
    </xf>
    <xf numFmtId="0" fontId="5" fillId="0" borderId="4" xfId="50" applyFont="1" applyFill="1" applyBorder="1" applyAlignment="1">
      <alignment horizontal="left" vertical="center"/>
    </xf>
    <xf numFmtId="0" fontId="5" fillId="4" borderId="4" xfId="50" applyFont="1" applyFill="1" applyBorder="1" applyAlignment="1">
      <alignment horizontal="left" vertical="center"/>
    </xf>
    <xf numFmtId="0" fontId="6" fillId="0" borderId="4" xfId="49" applyFont="1" applyFill="1" applyBorder="1" applyAlignment="1">
      <alignment vertical="center" wrapText="1"/>
    </xf>
    <xf numFmtId="0" fontId="7" fillId="3" borderId="5" xfId="49" applyFont="1" applyFill="1" applyBorder="1" applyAlignment="1">
      <alignment horizontal="center" vertical="center" wrapText="1"/>
    </xf>
    <xf numFmtId="176" fontId="1" fillId="0" borderId="4" xfId="49" applyNumberFormat="1" applyFont="1" applyBorder="1">
      <alignment vertical="center"/>
    </xf>
    <xf numFmtId="176" fontId="1" fillId="0" borderId="4" xfId="51" applyNumberFormat="1" applyFont="1" applyFill="1" applyBorder="1" applyAlignment="1">
      <alignment horizontal="right" vertical="center"/>
    </xf>
    <xf numFmtId="176" fontId="1" fillId="0" borderId="4" xfId="49" applyNumberFormat="1" applyFont="1" applyBorder="1" applyAlignment="1">
      <alignment horizontal="center" vertical="center"/>
    </xf>
    <xf numFmtId="176" fontId="1" fillId="0" borderId="6" xfId="51" applyNumberFormat="1" applyFont="1" applyFill="1" applyBorder="1" applyAlignment="1">
      <alignment horizontal="right" vertical="center"/>
    </xf>
    <xf numFmtId="176" fontId="1" fillId="4" borderId="4" xfId="49" applyNumberFormat="1" applyFont="1" applyFill="1" applyBorder="1">
      <alignment vertical="center"/>
    </xf>
    <xf numFmtId="176" fontId="6" fillId="4" borderId="4" xfId="49" applyNumberFormat="1" applyFont="1" applyFill="1" applyBorder="1">
      <alignment vertical="center"/>
    </xf>
    <xf numFmtId="176" fontId="1" fillId="0" borderId="4" xfId="49" applyNumberFormat="1" applyFont="1" applyFill="1" applyBorder="1">
      <alignment vertical="center"/>
    </xf>
    <xf numFmtId="176" fontId="6" fillId="0" borderId="4" xfId="49" applyNumberFormat="1" applyFont="1" applyBorder="1">
      <alignment vertical="center"/>
    </xf>
    <xf numFmtId="176" fontId="8" fillId="0" borderId="4" xfId="51" applyNumberFormat="1" applyFont="1" applyFill="1" applyBorder="1" applyAlignment="1">
      <alignment horizontal="right" vertical="center"/>
    </xf>
    <xf numFmtId="176" fontId="6" fillId="0" borderId="4" xfId="49" applyNumberFormat="1" applyFont="1" applyFill="1" applyBorder="1">
      <alignment vertical="center"/>
    </xf>
    <xf numFmtId="176" fontId="1" fillId="2" borderId="0" xfId="49" applyNumberFormat="1" applyFont="1" applyFill="1">
      <alignment vertical="center"/>
    </xf>
    <xf numFmtId="0" fontId="7" fillId="2" borderId="0" xfId="49" applyFont="1" applyFill="1" applyAlignment="1">
      <alignment horizontal="center" vertical="center"/>
    </xf>
    <xf numFmtId="0" fontId="2" fillId="0" borderId="0" xfId="49" applyFont="1">
      <alignment vertical="center"/>
    </xf>
    <xf numFmtId="0" fontId="9" fillId="0" borderId="0" xfId="49" applyFont="1" applyFill="1">
      <alignment vertical="center"/>
    </xf>
    <xf numFmtId="0" fontId="4" fillId="0" borderId="0" xfId="49" applyFont="1">
      <alignment vertical="center"/>
    </xf>
    <xf numFmtId="176" fontId="1" fillId="0" borderId="0" xfId="49" applyNumberFormat="1" applyFont="1" applyAlignment="1">
      <alignment horizontal="center" vertical="center"/>
    </xf>
    <xf numFmtId="176" fontId="1" fillId="0" borderId="0" xfId="49" applyNumberFormat="1" applyFont="1">
      <alignment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  <cellStyle name="常规 4" xfId="50"/>
    <cellStyle name="千位分隔 3" xfId="51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f02667a/WorkDOC/Services%20Delivery/MDS_lates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2"/>
      <sheetName val="Sheet1"/>
      <sheetName val="Sheet3"/>
      <sheetName val="SITES"/>
      <sheetName val="Sheet4"/>
      <sheetName val="COMPANY_NAM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0"/>
  <sheetViews>
    <sheetView showGridLines="0" tabSelected="1" workbookViewId="0">
      <pane xSplit="4" ySplit="1" topLeftCell="E2" activePane="bottomRight" state="frozenSplit"/>
      <selection/>
      <selection pane="topRight"/>
      <selection pane="bottomLeft"/>
      <selection pane="bottomRight" activeCell="D28" sqref="D28"/>
    </sheetView>
  </sheetViews>
  <sheetFormatPr defaultColWidth="9" defaultRowHeight="13.6"/>
  <cols>
    <col min="1" max="1" width="4.75" style="3" customWidth="1"/>
    <col min="2" max="2" width="14.25" style="3" customWidth="1"/>
    <col min="3" max="3" width="28.75" style="3" customWidth="1"/>
    <col min="4" max="4" width="34.75" style="3" customWidth="1"/>
    <col min="5" max="5" width="13.8839285714286" style="3" customWidth="1"/>
    <col min="6" max="6" width="12.75" style="3" customWidth="1"/>
    <col min="7" max="7" width="4.5" style="3" customWidth="1"/>
    <col min="8" max="8" width="14.8839285714286" style="3" customWidth="1"/>
    <col min="9" max="9" width="8.5" style="3" customWidth="1"/>
    <col min="10" max="11" width="9" style="3"/>
    <col min="12" max="12" width="23.8839285714286" style="3" customWidth="1"/>
    <col min="13" max="16384" width="9" style="3"/>
  </cols>
  <sheetData>
    <row r="1" ht="41" spans="1:9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20" t="s">
        <v>7</v>
      </c>
      <c r="I1" s="32"/>
    </row>
    <row r="2" s="1" customFormat="1" ht="14" spans="1:9">
      <c r="A2" s="1">
        <v>1</v>
      </c>
      <c r="B2" s="7" t="s">
        <v>8</v>
      </c>
      <c r="C2" s="8" t="s">
        <v>9</v>
      </c>
      <c r="D2" s="9" t="s">
        <v>10</v>
      </c>
      <c r="E2" s="21">
        <v>7050</v>
      </c>
      <c r="F2" s="22"/>
      <c r="G2" s="23">
        <v>1</v>
      </c>
      <c r="H2" s="24">
        <f t="shared" ref="H2:H29" si="0">(E2+F2)*G2</f>
        <v>7050</v>
      </c>
      <c r="I2" s="33" t="s">
        <v>11</v>
      </c>
    </row>
    <row r="3" s="1" customFormat="1" ht="14" spans="1:14">
      <c r="A3" s="1">
        <v>24</v>
      </c>
      <c r="B3" s="10" t="s">
        <v>12</v>
      </c>
      <c r="C3" s="11" t="s">
        <v>13</v>
      </c>
      <c r="D3" s="12" t="s">
        <v>14</v>
      </c>
      <c r="E3" s="25">
        <v>2600</v>
      </c>
      <c r="F3" s="22"/>
      <c r="G3" s="23">
        <v>0</v>
      </c>
      <c r="H3" s="24">
        <f t="shared" si="0"/>
        <v>0</v>
      </c>
      <c r="I3" s="34" t="s">
        <v>15</v>
      </c>
      <c r="J3" s="2"/>
      <c r="K3" s="2"/>
      <c r="L3" s="2"/>
      <c r="M3" s="2"/>
      <c r="N3" s="2"/>
    </row>
    <row r="4" s="1" customFormat="1" ht="14" spans="1:9">
      <c r="A4" s="1">
        <v>25</v>
      </c>
      <c r="B4" s="13" t="s">
        <v>12</v>
      </c>
      <c r="C4" s="8" t="s">
        <v>16</v>
      </c>
      <c r="D4" s="14" t="s">
        <v>16</v>
      </c>
      <c r="E4" s="25">
        <v>785</v>
      </c>
      <c r="F4" s="22"/>
      <c r="G4" s="23">
        <v>0</v>
      </c>
      <c r="H4" s="24">
        <f t="shared" si="0"/>
        <v>0</v>
      </c>
      <c r="I4" s="34" t="s">
        <v>15</v>
      </c>
    </row>
    <row r="5" s="1" customFormat="1" ht="14" spans="1:9">
      <c r="A5" s="1">
        <v>31</v>
      </c>
      <c r="B5" s="15" t="s">
        <v>17</v>
      </c>
      <c r="C5" s="11" t="s">
        <v>18</v>
      </c>
      <c r="D5" s="12" t="s">
        <v>19</v>
      </c>
      <c r="E5" s="25">
        <v>145</v>
      </c>
      <c r="F5" s="22"/>
      <c r="G5" s="23">
        <v>0</v>
      </c>
      <c r="H5" s="24">
        <f t="shared" si="0"/>
        <v>0</v>
      </c>
      <c r="I5" s="34" t="s">
        <v>15</v>
      </c>
    </row>
    <row r="6" s="1" customFormat="1" ht="14" spans="1:13">
      <c r="A6" s="1">
        <v>6</v>
      </c>
      <c r="B6" s="13" t="s">
        <v>20</v>
      </c>
      <c r="C6" s="16" t="s">
        <v>21</v>
      </c>
      <c r="D6" s="16" t="s">
        <v>22</v>
      </c>
      <c r="E6" s="21">
        <v>2440</v>
      </c>
      <c r="F6" s="22"/>
      <c r="G6" s="23">
        <v>1</v>
      </c>
      <c r="H6" s="24">
        <f t="shared" si="0"/>
        <v>2440</v>
      </c>
      <c r="I6" s="33" t="s">
        <v>11</v>
      </c>
      <c r="L6" s="35"/>
      <c r="M6" s="36"/>
    </row>
    <row r="7" s="1" customFormat="1" ht="14" spans="1:14">
      <c r="A7" s="1">
        <v>7</v>
      </c>
      <c r="B7" s="13" t="s">
        <v>20</v>
      </c>
      <c r="C7" s="16" t="s">
        <v>23</v>
      </c>
      <c r="D7" s="16" t="s">
        <v>24</v>
      </c>
      <c r="E7" s="21">
        <v>1139</v>
      </c>
      <c r="F7" s="22"/>
      <c r="G7" s="23">
        <v>1</v>
      </c>
      <c r="H7" s="24">
        <f t="shared" si="0"/>
        <v>1139</v>
      </c>
      <c r="I7" s="33" t="s">
        <v>25</v>
      </c>
      <c r="M7" s="36"/>
      <c r="N7" s="37"/>
    </row>
    <row r="8" s="1" customFormat="1" ht="14" spans="1:9">
      <c r="A8" s="1">
        <v>40</v>
      </c>
      <c r="B8" s="7" t="s">
        <v>26</v>
      </c>
      <c r="C8" s="11" t="s">
        <v>27</v>
      </c>
      <c r="D8" s="12" t="s">
        <v>19</v>
      </c>
      <c r="E8" s="26">
        <v>145</v>
      </c>
      <c r="F8" s="22"/>
      <c r="G8" s="23">
        <v>0</v>
      </c>
      <c r="H8" s="24">
        <f t="shared" si="0"/>
        <v>0</v>
      </c>
      <c r="I8" s="34" t="s">
        <v>15</v>
      </c>
    </row>
    <row r="9" s="2" customFormat="1" ht="14" spans="1:9">
      <c r="A9" s="1">
        <v>9</v>
      </c>
      <c r="B9" s="10" t="s">
        <v>28</v>
      </c>
      <c r="C9" s="16" t="s">
        <v>29</v>
      </c>
      <c r="D9" s="16" t="s">
        <v>30</v>
      </c>
      <c r="E9" s="27">
        <v>200</v>
      </c>
      <c r="F9" s="22"/>
      <c r="G9" s="23">
        <v>20</v>
      </c>
      <c r="H9" s="24">
        <f t="shared" si="0"/>
        <v>4000</v>
      </c>
      <c r="I9" s="33" t="s">
        <v>11</v>
      </c>
    </row>
    <row r="10" s="2" customFormat="1" ht="14" spans="1:9">
      <c r="A10" s="1">
        <v>10</v>
      </c>
      <c r="B10" s="10" t="s">
        <v>31</v>
      </c>
      <c r="C10" s="16" t="s">
        <v>29</v>
      </c>
      <c r="D10" s="16" t="s">
        <v>32</v>
      </c>
      <c r="E10" s="27">
        <v>230</v>
      </c>
      <c r="F10" s="22"/>
      <c r="G10" s="23">
        <v>1</v>
      </c>
      <c r="H10" s="24">
        <f t="shared" si="0"/>
        <v>230</v>
      </c>
      <c r="I10" s="33" t="s">
        <v>11</v>
      </c>
    </row>
    <row r="11" s="2" customFormat="1" ht="14" spans="1:14">
      <c r="A11" s="1">
        <v>41</v>
      </c>
      <c r="B11" s="7" t="s">
        <v>26</v>
      </c>
      <c r="C11" s="11" t="s">
        <v>33</v>
      </c>
      <c r="D11" s="12" t="s">
        <v>34</v>
      </c>
      <c r="E11" s="26">
        <v>891</v>
      </c>
      <c r="F11" s="22"/>
      <c r="G11" s="23">
        <v>0</v>
      </c>
      <c r="H11" s="24">
        <f t="shared" si="0"/>
        <v>0</v>
      </c>
      <c r="I11" s="34" t="s">
        <v>15</v>
      </c>
      <c r="J11" s="1"/>
      <c r="K11" s="1"/>
      <c r="L11" s="1"/>
      <c r="M11" s="1"/>
      <c r="N11" s="1"/>
    </row>
    <row r="12" s="1" customFormat="1" ht="14" spans="1:9">
      <c r="A12" s="1">
        <v>12</v>
      </c>
      <c r="B12" s="13" t="s">
        <v>35</v>
      </c>
      <c r="C12" s="16" t="s">
        <v>36</v>
      </c>
      <c r="D12" s="16" t="s">
        <v>37</v>
      </c>
      <c r="E12" s="21">
        <v>1240</v>
      </c>
      <c r="F12" s="22"/>
      <c r="G12" s="23">
        <v>2</v>
      </c>
      <c r="H12" s="24">
        <f t="shared" si="0"/>
        <v>2480</v>
      </c>
      <c r="I12" s="33" t="s">
        <v>38</v>
      </c>
    </row>
    <row r="13" s="1" customFormat="1" ht="14" spans="1:9">
      <c r="A13" s="1">
        <v>13</v>
      </c>
      <c r="B13" s="13" t="s">
        <v>35</v>
      </c>
      <c r="C13" s="8" t="s">
        <v>39</v>
      </c>
      <c r="D13" s="8" t="s">
        <v>40</v>
      </c>
      <c r="E13" s="21">
        <v>1386</v>
      </c>
      <c r="F13" s="22"/>
      <c r="G13" s="23">
        <v>1</v>
      </c>
      <c r="H13" s="24">
        <f t="shared" si="0"/>
        <v>1386</v>
      </c>
      <c r="I13" s="33" t="s">
        <v>11</v>
      </c>
    </row>
    <row r="14" s="1" customFormat="1" ht="16" spans="1:9">
      <c r="A14" s="1">
        <v>46</v>
      </c>
      <c r="B14" s="7" t="s">
        <v>41</v>
      </c>
      <c r="C14" s="17" t="s">
        <v>42</v>
      </c>
      <c r="D14" s="18" t="s">
        <v>43</v>
      </c>
      <c r="E14" s="26">
        <f>2995-895</f>
        <v>2100</v>
      </c>
      <c r="F14" s="28"/>
      <c r="G14" s="23">
        <v>0</v>
      </c>
      <c r="H14" s="24">
        <f t="shared" si="0"/>
        <v>0</v>
      </c>
      <c r="I14" s="34" t="s">
        <v>15</v>
      </c>
    </row>
    <row r="15" s="1" customFormat="1" ht="14" spans="1:9">
      <c r="A15" s="1">
        <v>50</v>
      </c>
      <c r="B15" s="7" t="s">
        <v>41</v>
      </c>
      <c r="C15" s="16" t="s">
        <v>44</v>
      </c>
      <c r="D15" s="12" t="s">
        <v>45</v>
      </c>
      <c r="E15" s="25">
        <v>3000</v>
      </c>
      <c r="F15" s="22"/>
      <c r="G15" s="23">
        <v>0</v>
      </c>
      <c r="H15" s="24">
        <f t="shared" si="0"/>
        <v>0</v>
      </c>
      <c r="I15" s="34" t="s">
        <v>15</v>
      </c>
    </row>
    <row r="16" s="1" customFormat="1" ht="14" spans="1:9">
      <c r="A16" s="1">
        <v>66</v>
      </c>
      <c r="B16" s="13" t="s">
        <v>46</v>
      </c>
      <c r="C16" s="9" t="s">
        <v>47</v>
      </c>
      <c r="D16" s="12" t="s">
        <v>47</v>
      </c>
      <c r="E16" s="25">
        <v>1240</v>
      </c>
      <c r="F16" s="22"/>
      <c r="G16" s="23">
        <v>0</v>
      </c>
      <c r="H16" s="24">
        <f t="shared" si="0"/>
        <v>0</v>
      </c>
      <c r="I16" s="34" t="s">
        <v>15</v>
      </c>
    </row>
    <row r="17" s="1" customFormat="1" ht="14" spans="1:9">
      <c r="A17" s="1">
        <v>20</v>
      </c>
      <c r="B17" s="13" t="s">
        <v>48</v>
      </c>
      <c r="C17" s="8" t="s">
        <v>49</v>
      </c>
      <c r="D17" s="8" t="s">
        <v>50</v>
      </c>
      <c r="E17" s="21">
        <v>6768</v>
      </c>
      <c r="F17" s="29"/>
      <c r="G17" s="23">
        <v>1</v>
      </c>
      <c r="H17" s="24">
        <f t="shared" si="0"/>
        <v>6768</v>
      </c>
      <c r="I17" s="33" t="s">
        <v>51</v>
      </c>
    </row>
    <row r="18" s="1" customFormat="1" ht="14" spans="1:9">
      <c r="A18" s="1">
        <v>22</v>
      </c>
      <c r="B18" s="13" t="s">
        <v>48</v>
      </c>
      <c r="C18" s="8" t="s">
        <v>52</v>
      </c>
      <c r="D18" s="16" t="s">
        <v>53</v>
      </c>
      <c r="E18" s="27">
        <v>990</v>
      </c>
      <c r="F18" s="22"/>
      <c r="G18" s="23">
        <v>1</v>
      </c>
      <c r="H18" s="24">
        <f t="shared" si="0"/>
        <v>990</v>
      </c>
      <c r="I18" s="33" t="s">
        <v>38</v>
      </c>
    </row>
    <row r="19" s="1" customFormat="1" ht="14" spans="1:9">
      <c r="A19" s="1">
        <v>26</v>
      </c>
      <c r="B19" s="13" t="s">
        <v>12</v>
      </c>
      <c r="C19" s="8" t="s">
        <v>54</v>
      </c>
      <c r="D19" s="11" t="s">
        <v>55</v>
      </c>
      <c r="E19" s="27">
        <v>900</v>
      </c>
      <c r="F19" s="22"/>
      <c r="G19" s="23">
        <v>1</v>
      </c>
      <c r="H19" s="24">
        <f t="shared" si="0"/>
        <v>900</v>
      </c>
      <c r="I19" s="33" t="s">
        <v>38</v>
      </c>
    </row>
    <row r="20" s="1" customFormat="1" ht="14" spans="1:9">
      <c r="A20" s="1">
        <v>29</v>
      </c>
      <c r="B20" s="15" t="s">
        <v>17</v>
      </c>
      <c r="C20" s="11" t="s">
        <v>56</v>
      </c>
      <c r="D20" s="19" t="s">
        <v>57</v>
      </c>
      <c r="E20" s="27">
        <v>3000</v>
      </c>
      <c r="F20" s="27"/>
      <c r="G20" s="23">
        <v>1</v>
      </c>
      <c r="H20" s="24">
        <f t="shared" si="0"/>
        <v>3000</v>
      </c>
      <c r="I20" s="33" t="s">
        <v>38</v>
      </c>
    </row>
    <row r="21" s="1" customFormat="1" ht="14" spans="1:9">
      <c r="A21" s="1">
        <v>30</v>
      </c>
      <c r="B21" s="15" t="s">
        <v>17</v>
      </c>
      <c r="C21" s="11" t="s">
        <v>58</v>
      </c>
      <c r="D21" s="19" t="s">
        <v>59</v>
      </c>
      <c r="E21" s="27">
        <v>300</v>
      </c>
      <c r="F21" s="27"/>
      <c r="G21" s="23">
        <v>1</v>
      </c>
      <c r="H21" s="24">
        <f t="shared" si="0"/>
        <v>300</v>
      </c>
      <c r="I21" s="33" t="s">
        <v>38</v>
      </c>
    </row>
    <row r="22" s="1" customFormat="1" ht="14" spans="1:9">
      <c r="A22" s="1">
        <v>32</v>
      </c>
      <c r="B22" s="15" t="s">
        <v>17</v>
      </c>
      <c r="C22" s="11" t="s">
        <v>60</v>
      </c>
      <c r="D22" s="16" t="s">
        <v>61</v>
      </c>
      <c r="E22" s="27">
        <v>95</v>
      </c>
      <c r="F22" s="22"/>
      <c r="G22" s="23">
        <v>1</v>
      </c>
      <c r="H22" s="24">
        <f t="shared" si="0"/>
        <v>95</v>
      </c>
      <c r="I22" s="33" t="s">
        <v>25</v>
      </c>
    </row>
    <row r="23" s="1" customFormat="1" ht="14" spans="1:9">
      <c r="A23" s="1">
        <v>33</v>
      </c>
      <c r="B23" s="7" t="s">
        <v>17</v>
      </c>
      <c r="C23" s="11" t="s">
        <v>62</v>
      </c>
      <c r="D23" s="11" t="s">
        <v>34</v>
      </c>
      <c r="E23" s="21">
        <v>891</v>
      </c>
      <c r="F23" s="22"/>
      <c r="G23" s="23">
        <v>1</v>
      </c>
      <c r="H23" s="24">
        <f t="shared" si="0"/>
        <v>891</v>
      </c>
      <c r="I23" s="33" t="s">
        <v>25</v>
      </c>
    </row>
    <row r="24" s="1" customFormat="1" ht="14" spans="1:9">
      <c r="A24" s="1">
        <v>34</v>
      </c>
      <c r="B24" s="7" t="s">
        <v>17</v>
      </c>
      <c r="C24" s="11" t="s">
        <v>63</v>
      </c>
      <c r="D24" s="11" t="s">
        <v>64</v>
      </c>
      <c r="E24" s="21">
        <v>600</v>
      </c>
      <c r="F24" s="22"/>
      <c r="G24" s="23">
        <v>1</v>
      </c>
      <c r="H24" s="24">
        <f t="shared" si="0"/>
        <v>600</v>
      </c>
      <c r="I24" s="33" t="s">
        <v>25</v>
      </c>
    </row>
    <row r="25" s="2" customFormat="1" ht="14" spans="1:9">
      <c r="A25" s="1">
        <v>36</v>
      </c>
      <c r="B25" s="15" t="s">
        <v>26</v>
      </c>
      <c r="C25" s="11" t="s">
        <v>65</v>
      </c>
      <c r="D25" s="11" t="s">
        <v>66</v>
      </c>
      <c r="E25" s="30">
        <v>3400</v>
      </c>
      <c r="F25" s="22"/>
      <c r="G25" s="23">
        <v>1</v>
      </c>
      <c r="H25" s="24">
        <f t="shared" si="0"/>
        <v>3400</v>
      </c>
      <c r="I25" s="33" t="s">
        <v>25</v>
      </c>
    </row>
    <row r="26" s="1" customFormat="1" ht="14" spans="1:9">
      <c r="A26" s="1">
        <v>37</v>
      </c>
      <c r="B26" s="7" t="s">
        <v>26</v>
      </c>
      <c r="C26" s="11" t="s">
        <v>67</v>
      </c>
      <c r="D26" s="11" t="s">
        <v>67</v>
      </c>
      <c r="E26" s="30">
        <v>785</v>
      </c>
      <c r="F26" s="22"/>
      <c r="G26" s="23">
        <v>1</v>
      </c>
      <c r="H26" s="24">
        <f t="shared" si="0"/>
        <v>785</v>
      </c>
      <c r="I26" s="33" t="s">
        <v>38</v>
      </c>
    </row>
    <row r="27" s="1" customFormat="1" ht="14" spans="1:9">
      <c r="A27" s="1">
        <v>38</v>
      </c>
      <c r="B27" s="7" t="s">
        <v>68</v>
      </c>
      <c r="C27" s="11" t="s">
        <v>69</v>
      </c>
      <c r="D27" s="11" t="s">
        <v>70</v>
      </c>
      <c r="E27" s="30">
        <v>85</v>
      </c>
      <c r="F27" s="22"/>
      <c r="G27" s="23">
        <v>1</v>
      </c>
      <c r="H27" s="24">
        <f t="shared" si="0"/>
        <v>85</v>
      </c>
      <c r="I27" s="33" t="s">
        <v>25</v>
      </c>
    </row>
    <row r="28" s="1" customFormat="1" ht="14" spans="1:9">
      <c r="A28" s="1">
        <v>39</v>
      </c>
      <c r="B28" s="7" t="s">
        <v>26</v>
      </c>
      <c r="C28" s="11" t="s">
        <v>71</v>
      </c>
      <c r="D28" s="11" t="s">
        <v>72</v>
      </c>
      <c r="E28" s="28">
        <v>160</v>
      </c>
      <c r="F28" s="22"/>
      <c r="G28" s="23">
        <v>1</v>
      </c>
      <c r="H28" s="24">
        <f t="shared" si="0"/>
        <v>160</v>
      </c>
      <c r="I28" s="33" t="s">
        <v>25</v>
      </c>
    </row>
    <row r="29" s="1" customFormat="1" ht="16" spans="1:9">
      <c r="A29" s="1">
        <v>44</v>
      </c>
      <c r="B29" s="7" t="s">
        <v>41</v>
      </c>
      <c r="C29" s="17" t="s">
        <v>73</v>
      </c>
      <c r="D29" s="17" t="s">
        <v>74</v>
      </c>
      <c r="E29" s="30">
        <v>2000</v>
      </c>
      <c r="F29" s="30"/>
      <c r="G29" s="23">
        <v>4</v>
      </c>
      <c r="H29" s="24">
        <f t="shared" si="0"/>
        <v>8000</v>
      </c>
      <c r="I29" s="33" t="s">
        <v>25</v>
      </c>
    </row>
    <row r="30" s="1" customFormat="1" ht="16" spans="1:9">
      <c r="A30" s="1">
        <v>47</v>
      </c>
      <c r="B30" s="7" t="s">
        <v>41</v>
      </c>
      <c r="C30" s="17" t="s">
        <v>75</v>
      </c>
      <c r="D30" s="17" t="s">
        <v>76</v>
      </c>
      <c r="E30" s="28">
        <v>322</v>
      </c>
      <c r="F30" s="28"/>
      <c r="G30" s="23">
        <v>4</v>
      </c>
      <c r="H30" s="24">
        <f>E30*G30</f>
        <v>1288</v>
      </c>
      <c r="I30" s="33" t="s">
        <v>25</v>
      </c>
    </row>
    <row r="31" s="1" customFormat="1" ht="14" spans="1:9">
      <c r="A31" s="1">
        <v>48</v>
      </c>
      <c r="B31" s="7" t="s">
        <v>41</v>
      </c>
      <c r="C31" s="11" t="s">
        <v>77</v>
      </c>
      <c r="D31" s="16" t="s">
        <v>78</v>
      </c>
      <c r="E31" s="21">
        <v>110</v>
      </c>
      <c r="F31" s="22"/>
      <c r="G31" s="23">
        <v>1</v>
      </c>
      <c r="H31" s="24">
        <f t="shared" ref="H31:H38" si="1">(E31+F31)*G31</f>
        <v>110</v>
      </c>
      <c r="I31" s="33" t="s">
        <v>25</v>
      </c>
    </row>
    <row r="32" s="1" customFormat="1" ht="14" spans="1:9">
      <c r="A32" s="1">
        <v>49</v>
      </c>
      <c r="B32" s="7" t="s">
        <v>41</v>
      </c>
      <c r="C32" s="11" t="s">
        <v>77</v>
      </c>
      <c r="D32" s="16" t="s">
        <v>79</v>
      </c>
      <c r="E32" s="21">
        <v>220</v>
      </c>
      <c r="F32" s="22"/>
      <c r="G32" s="23">
        <v>3</v>
      </c>
      <c r="H32" s="24">
        <f t="shared" si="1"/>
        <v>660</v>
      </c>
      <c r="I32" s="33" t="s">
        <v>25</v>
      </c>
    </row>
    <row r="33" s="1" customFormat="1" ht="14" spans="1:9">
      <c r="A33" s="1">
        <v>51</v>
      </c>
      <c r="B33" s="7" t="s">
        <v>41</v>
      </c>
      <c r="C33" s="16" t="s">
        <v>80</v>
      </c>
      <c r="D33" s="16" t="s">
        <v>80</v>
      </c>
      <c r="E33" s="21">
        <v>598</v>
      </c>
      <c r="F33" s="22"/>
      <c r="G33" s="23">
        <v>1</v>
      </c>
      <c r="H33" s="24">
        <f t="shared" si="1"/>
        <v>598</v>
      </c>
      <c r="I33" s="33" t="s">
        <v>11</v>
      </c>
    </row>
    <row r="34" s="2" customFormat="1" ht="14" spans="1:9">
      <c r="A34" s="1">
        <v>54</v>
      </c>
      <c r="B34" s="15" t="s">
        <v>81</v>
      </c>
      <c r="C34" s="16" t="s">
        <v>82</v>
      </c>
      <c r="D34" s="11" t="s">
        <v>83</v>
      </c>
      <c r="E34" s="27">
        <v>2070</v>
      </c>
      <c r="F34" s="22"/>
      <c r="G34" s="23">
        <v>2</v>
      </c>
      <c r="H34" s="24">
        <f t="shared" si="1"/>
        <v>4140</v>
      </c>
      <c r="I34" s="33" t="s">
        <v>84</v>
      </c>
    </row>
    <row r="35" s="1" customFormat="1" ht="14" spans="1:9">
      <c r="A35" s="1">
        <v>62</v>
      </c>
      <c r="B35" s="13" t="s">
        <v>46</v>
      </c>
      <c r="C35" s="9" t="s">
        <v>85</v>
      </c>
      <c r="D35" s="9" t="s">
        <v>85</v>
      </c>
      <c r="E35" s="21">
        <v>64</v>
      </c>
      <c r="F35" s="22"/>
      <c r="G35" s="23">
        <v>1</v>
      </c>
      <c r="H35" s="24">
        <f t="shared" si="1"/>
        <v>64</v>
      </c>
      <c r="I35" s="33" t="s">
        <v>11</v>
      </c>
    </row>
    <row r="36" s="1" customFormat="1" ht="14" spans="1:9">
      <c r="A36" s="1">
        <v>63</v>
      </c>
      <c r="B36" s="13" t="s">
        <v>46</v>
      </c>
      <c r="C36" s="9" t="s">
        <v>86</v>
      </c>
      <c r="D36" s="9" t="s">
        <v>87</v>
      </c>
      <c r="E36" s="21">
        <v>43</v>
      </c>
      <c r="F36" s="22"/>
      <c r="G36" s="23">
        <v>2</v>
      </c>
      <c r="H36" s="24">
        <f t="shared" si="1"/>
        <v>86</v>
      </c>
      <c r="I36" s="33" t="s">
        <v>25</v>
      </c>
    </row>
    <row r="37" s="1" customFormat="1" ht="14" spans="1:9">
      <c r="A37" s="1">
        <v>64</v>
      </c>
      <c r="B37" s="13" t="s">
        <v>46</v>
      </c>
      <c r="C37" s="9" t="s">
        <v>88</v>
      </c>
      <c r="D37" s="9" t="s">
        <v>89</v>
      </c>
      <c r="E37" s="21">
        <v>751</v>
      </c>
      <c r="F37" s="22"/>
      <c r="G37" s="23">
        <v>1</v>
      </c>
      <c r="H37" s="24">
        <f t="shared" si="1"/>
        <v>751</v>
      </c>
      <c r="I37" s="33" t="s">
        <v>25</v>
      </c>
    </row>
    <row r="38" s="1" customFormat="1" ht="14" spans="1:9">
      <c r="A38" s="1">
        <v>67</v>
      </c>
      <c r="B38" s="13" t="s">
        <v>46</v>
      </c>
      <c r="C38" s="8" t="s">
        <v>90</v>
      </c>
      <c r="D38" s="16" t="s">
        <v>90</v>
      </c>
      <c r="E38" s="27">
        <v>720</v>
      </c>
      <c r="F38" s="22"/>
      <c r="G38" s="23">
        <v>1</v>
      </c>
      <c r="H38" s="24">
        <f t="shared" si="1"/>
        <v>720</v>
      </c>
      <c r="I38" s="33" t="s">
        <v>25</v>
      </c>
    </row>
    <row r="40" ht="14" spans="4:8">
      <c r="D40" s="3" t="s">
        <v>91</v>
      </c>
      <c r="H40" s="31"/>
    </row>
  </sheetData>
  <autoFilter xmlns:etc="http://www.wps.cn/officeDocument/2017/etCustomData" ref="A1:N38" etc:filterBottomFollowUsedRange="0">
    <sortState ref="A1:N38">
      <sortCondition ref="D1:D38" sortBy="cellColor" dxfId="0"/>
    </sortState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订购设备清单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孙刚 TS Region IT</dc:creator>
  <cp:lastModifiedBy>Jerry Cui</cp:lastModifiedBy>
  <dcterms:created xsi:type="dcterms:W3CDTF">2025-12-16T14:33:00Z</dcterms:created>
  <dcterms:modified xsi:type="dcterms:W3CDTF">2026-01-23T17:34:00Z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E1453AB9CCB9B382F4B875693FABDB80_43</vt:lpwstr>
  </property>
  <property fmtid="{D5CDD505-2E9C-101B-9397-08002B2CF9AE}" pid="3" name="KSOProductBuildVer">
    <vt:lpwstr>2052-7.3.1.8967</vt:lpwstr>
  </property>
  <property fmtid="{D5CDD505-2E9C-101B-9397-08002B2CF9AE}" pid="4" name="CalculationRule">
    <vt:i4>0</vt:i4>
  </property>
</Properties>
</file>